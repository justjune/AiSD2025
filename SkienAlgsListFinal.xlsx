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ЭтаКнига"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241" documentId="13_ncr:1_{BB64072A-02B6-4C3F-B1E2-71C6B558E3EF}" xr6:coauthVersionLast="47" xr6:coauthVersionMax="47" xr10:uidLastSave="{52E0DE3F-A1D1-4E0B-A8DB-70F09B1A2028}"/>
  <bookViews>
    <workbookView xWindow="-270" yWindow="900" windowWidth="22080" windowHeight="1221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<sst xmlns="http://schemas.openxmlformats.org/spreadsheetml/2006/main" count="548" uniqueCount="380">
  <si>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</si>
  <si>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</si>
  <si>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</si>
  <si>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</si>
  <si>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</si>
  <si>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</si>
  <si>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</si>
  <si>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</si>
  <si>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</si>
  <si>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</si>
  <si>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</si>
  <si>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</si>
  <si>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</si>
  <si>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</si>
  <si>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</si>
  <si>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</si>
  <si>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</si>
  <si>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</si>
  <si>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</si>
  <si>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</si>
  <si>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</si>
  <si>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</si>
  <si>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</si>
  <si>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</si>
  <si>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</si>
  <si>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</si>
  <si>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</si>
  <si>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</si>
  <si>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</si>
  <si>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</si>
  <si>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</si>
  <si>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</si>
  <si>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</si>
  <si>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</si>
  <si>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</si>
  <si>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</si>
  <si>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</si>
  <si>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</si>
  <si>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</si>
  <si>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</si>
  <si>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</si>
  <si>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</si>
  <si>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</si>
  <si>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</si>
  <si>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</si>
  <si>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</si>
  <si>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</si>
  <si>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</si>
  <si>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</si>
  <si>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</si>
  <si>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</si>
  <si>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</si>
  <si>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</si>
  <si>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</si>
  <si>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</si>
  <si>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</si>
  <si>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</si>
  <si>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</si>
  <si>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</si>
  <si>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</si>
  <si>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</si>
  <si>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</si>
  <si>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</si>
  <si>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</si>
  <si>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</si>
  <si>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</si>
  <si>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</si>
  <si>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</si>
  <si>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</si>
  <si>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</si>
  <si>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</si>
  <si>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</si>
  <si>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</si>
  <si>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</si>
  <si>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</si>
  <si>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</si>
  <si>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</si>
  <si>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</si>
  <si>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</si>
  <si>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</si>
  <si>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</si>
  <si>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</si>
  <si>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</si>
  <si>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</si>
  <si>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</si>
  <si>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</si>
  <si>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</si>
  <si>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</si>
  <si>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</si>
  <si>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</si>
  <si>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</si>
  <si>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</si>
  <si>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</si>
  <si>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</si>
  <si>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</si>
  <si>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</si>
  <si>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</si>
  <si>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</si>
  <si>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</si>
  <si>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</si>
  <si>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</si>
  <si>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</si>
  <si>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</si>
  <si>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</si>
  <si>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</si>
  <si>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</si>
  <si>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</si>
  <si>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</si>
  <si>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</si>
  <si>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</si>
  <si>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</si>
  <si>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</si>
  <si>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</si>
  <si>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</si>
  <si>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</si>
  <si>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</si>
  <si>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</si>
  <si>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</si>
  <si>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</si>
  <si>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</si>
  <si>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</si>
  <si>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</si>
  <si>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</si>
  <si>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</si>
  <si>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</si>
  <si>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</si>
  <si>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</si>
  <si>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</si>
  <si>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</si>
  <si>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</si>
  <si>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</si>
  <si>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</si>
  <si>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</si>
  <si>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</si>
  <si>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</si>
  <si>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</si>
  <si>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</si>
  <si>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</si>
  <si>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</si>
  <si>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</si>
  <si>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</si>
  <si>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</si>
  <si>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</si>
  <si>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</si>
  <si>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</si>
  <si>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</si>
  <si>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</si>
  <si>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</si>
  <si>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</si>
  <si>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</si>
  <si>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</si>
  <si>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</si>
  <si>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</si>
  <si>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</si>
  <si>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</si>
  <si>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</si>
  <si>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</si>
  <si>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</si>
  <si>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</si>
  <si>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</si>
  <si>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</si>
  <si>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</si>
  <si>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</si>
  <si>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</si>
  <si>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</si>
  <si>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</si>
  <si>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</si>
  <si>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</si>
  <si>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</si>
  <si>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</si>
  <si>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</si>
  <si>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</si>
  <si>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</si>
  <si>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</si>
  <si>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</si>
  <si>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</si>
  <si>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</si>
  <si>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</si>
  <si>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</si>
  <si>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</si>
  <si>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</si>
  <si>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</si>
  <si>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</si>
  <si>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</si>
  <si>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</si>
  <si>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</si>
  <si>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</si>
  <si>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</si>
  <si>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</si>
  <si>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</si>
  <si>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</si>
  <si>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</si>
  <si>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</si>
  <si>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</si>
  <si>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</si>
  <si>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</si>
  <si>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</si>
  <si>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</si>
  <si>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</si>
  <si>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</si>
  <si>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</si>
  <si>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</si>
  <si>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</si>
  <si>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</si>
  <si>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</si>
  <si>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</si>
  <si>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</si>
  <si>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</si>
  <si>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</si>
  <si>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</si>
  <si>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</si>
  <si>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</si>
  <si>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</si>
  <si>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</si>
  <si>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</si>
  <si>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</si>
  <si>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</si>
  <si>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</si>
  <si>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</si>
  <si>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</si>
  <si>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</si>
  <si>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</si>
  <si>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</si>
  <si>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</si>
  <si>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</si>
  <si>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</si>
  <si>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</si>
  <si>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</si>
  <si>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</si>
  <si>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</si>
  <si>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</si>
  <si>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</si>
  <si>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</si>
  <si>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</si>
  <si>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</si>
  <si>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</si>
  <si>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</si>
  <si>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</si>
  <si>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</si>
  <si>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</si>
  <si>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</si>
  <si>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</si>
  <si>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</si>
  <si>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</si>
  <si>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</si>
  <si>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</si>
  <si>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</si>
  <si>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</si>
  <si>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</si>
  <si>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</si>
  <si>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</si>
  <si>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</si>
  <si>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</si>
  <si>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</si>
  <si>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</si>
  <si>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</si>
  <si>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9.5</t>
  </si>
  <si>
    <t>construct_candidates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</si>
  <si>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</si>
  <si>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</si>
  <si>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</si>
  <si>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</si>
  <si>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</si>
  <si>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</si>
  <si>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</si>
  <si>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</si>
  <si>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</si>
  <si>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</si>
  <si>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</si>
  <si>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</si>
  <si>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</si>
  <si>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</si>
  <si>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</si>
  <si>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</si>
  <si>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</si>
  <si>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</si>
  <si>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</si>
  <si>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</si>
  <si>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</si>
  <si>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</si>
  <si>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</si>
  <si>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</si>
  <si>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</si>
  <si>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</si>
  <si>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</si>
  <si>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</si>
  <si>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</si>
  <si>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</si>
  <si>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</si>
  <si>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</si>
  <si>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</si>
  <si>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</si>
  <si>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</si>
  <si>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</si>
  <si>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</si>
  <si>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</si>
  <si>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</si>
  <si>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</si>
  <si>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</si>
  <si>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</si>
  <si>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</si>
  <si>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</si>
  <si>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</si>
  <si>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</si>
  <si>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</si>
  <si>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</si>
  <si>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</si>
  <si>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</si>
  <si>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</si>
  <si>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</si>
  <si>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</si>
  <si>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</si>
  <si>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</si>
  <si>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</si>
  <si>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</si>
  <si>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</si>
  <si>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</si>
  <si>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</si>
  <si>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</si>
  <si>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</si>
  <si>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</si>
  <si>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</si>
  <si>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</si>
  <si>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</si>
  <si>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</si>
  <si>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</si>
  <si>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</si>
  <si>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</si>
  <si>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</si>
  <si>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</si>
  <si>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</si>
  <si>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</si>
  <si>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</si>
  <si>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</si>
  <si>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</si>
  <si>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</si>
  <si>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</si>
  <si>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</si>
  <si>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</si>
  <si>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</si>
  <si>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</si>
  <si>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</si>
  <si>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</si>
  <si>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</si>
  <si>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</si>
  <si>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</si>
  <si>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</si>
  <si>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</si>
  <si>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</si>
  <si>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</si>
  <si>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</si>
  <si>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</si>
  <si>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</si>
  <si>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</si>
  <si>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</si>
  <si>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</si>
  <si>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</si>
  <si>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</si>
  <si>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</si>
  <si>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</si>
  <si>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</si>
  <si>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</si>
  <si>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</si>
  <si>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</si>
  <si>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</si>
  <si>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</si>
  <si>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</si>
  <si>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</si>
  <si>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</si>
  <si>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</si>
  <si>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</si>
  <si>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</si>
  <si>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</si>
  <si>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</si>
  <si>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</si>
  <si>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</si>
  <si>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Читсяков Андрей ПМ</t>
  </si>
  <si>
    <t>Парфенов в ПМ / Медведев Данил ПМ</t>
  </si>
  <si>
    <t>Имитация отжига</t>
  </si>
  <si>
    <t>Процедура генерирования перестановок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</si>
</sst>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14" fontId="2" fillId="4" borderId="0" xfId="0" applyNumberFormat="1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2" fillId="2" borderId="0" xfId="0" applyFont="1" applyFill="1"/>
    <xf numFmtId="14" fontId="12" fillId="2" borderId="0" xfId="0" applyNumberFormat="1" applyFont="1" applyFill="1" applyAlignment="1">
      <alignment vertical="center"/>
    </xf>
    <xf numFmtId="0" fontId="16" fillId="3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K1000"/>
  <sheetViews>
    <sheetView tabSelected="1" workbookViewId="0">
      <pane xSplit="3" ySplit="1" topLeftCell="D33" activePane="bottomRight" state="frozen"/>
      <selection pane="topRight" activeCell="D1" sqref="D1"/>
      <selection pane="bottomLeft" activeCell="A2" sqref="A2"/>
      <selection pane="bottomRight" activeCell="C84" sqref="C84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5" t="s">
        <v>10</v>
      </c>
      <c r="B2" s="35" t="s">
        <v>11</v>
      </c>
      <c r="C2" s="35" t="s">
        <v>12</v>
      </c>
      <c r="D2" s="35">
        <v>26</v>
      </c>
      <c r="E2" s="35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49">_xlfn.UNIQUE($F$2:$F$107)</f>
        <v>Чистяков Андрей ПМ</v>
      </c>
      <c r="K2" s="4">
        <f t="shared" ref="K2:K33" si="0">SUMIF(F2:F107, J2, E2:E107)</f>
        <v>24</v>
      </c>
    </row>
    <row r="3" spans="1:11" ht="14.25" customHeight="1" x14ac:dyDescent="0.25">
      <c r="A3" s="35" t="s">
        <v>15</v>
      </c>
      <c r="B3" s="35" t="s">
        <v>16</v>
      </c>
      <c r="C3" s="35" t="s">
        <v>17</v>
      </c>
      <c r="D3" s="35">
        <v>67</v>
      </c>
      <c r="E3" s="35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5" t="s">
        <v>18</v>
      </c>
      <c r="B4" s="35" t="s">
        <v>19</v>
      </c>
      <c r="C4" s="35" t="s">
        <v>20</v>
      </c>
      <c r="D4" s="35">
        <v>69</v>
      </c>
      <c r="E4" s="35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5" t="s">
        <v>25</v>
      </c>
      <c r="B6" s="35" t="s">
        <v>26</v>
      </c>
      <c r="C6" s="35" t="s">
        <v>27</v>
      </c>
      <c r="D6" s="35">
        <v>77</v>
      </c>
      <c r="E6" s="35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5" t="s">
        <v>28</v>
      </c>
      <c r="B7" s="35" t="s">
        <v>29</v>
      </c>
      <c r="C7" s="35" t="s">
        <v>30</v>
      </c>
      <c r="D7" s="35">
        <v>99</v>
      </c>
      <c r="E7" s="35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14" t="s">
        <v>52</v>
      </c>
      <c r="B13" s="14" t="s">
        <v>53</v>
      </c>
      <c r="C13" s="14" t="s">
        <v>54</v>
      </c>
      <c r="D13" s="14">
        <v>110</v>
      </c>
      <c r="E13" s="14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14" t="s">
        <v>57</v>
      </c>
      <c r="B14" s="14" t="s">
        <v>58</v>
      </c>
      <c r="C14" s="14" t="s">
        <v>59</v>
      </c>
      <c r="D14" s="14">
        <v>111</v>
      </c>
      <c r="E14" s="14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14" t="s">
        <v>62</v>
      </c>
      <c r="B15" s="14" t="s">
        <v>63</v>
      </c>
      <c r="C15" s="14" t="s">
        <v>64</v>
      </c>
      <c r="D15" s="14">
        <v>112</v>
      </c>
      <c r="E15" s="14">
        <v>8</v>
      </c>
      <c r="F15" s="22" t="s">
        <v>65</v>
      </c>
      <c r="G15" s="21">
        <v>45944</v>
      </c>
      <c r="H15" s="37">
        <v>45945</v>
      </c>
      <c r="I15" s="39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5" t="s">
        <v>70</v>
      </c>
      <c r="B17" s="35" t="s">
        <v>71</v>
      </c>
      <c r="C17" s="35" t="s">
        <v>72</v>
      </c>
      <c r="D17" s="35">
        <v>121</v>
      </c>
      <c r="E17" s="35" t="s">
        <v>73</v>
      </c>
      <c r="F17" s="46" t="s">
        <v>74</v>
      </c>
      <c r="G17" s="19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5" t="s">
        <v>70</v>
      </c>
      <c r="B18" s="35" t="s">
        <v>76</v>
      </c>
      <c r="C18" s="35" t="s">
        <v>77</v>
      </c>
      <c r="D18" s="35">
        <v>145</v>
      </c>
      <c r="E18" s="35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1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1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1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1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1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14" t="s">
        <v>97</v>
      </c>
      <c r="B24" s="14" t="s">
        <v>98</v>
      </c>
      <c r="C24" s="14" t="s">
        <v>99</v>
      </c>
      <c r="D24" s="14">
        <v>152</v>
      </c>
      <c r="E24" s="14">
        <v>8</v>
      </c>
      <c r="F24" s="17" t="s">
        <v>100</v>
      </c>
      <c r="G24" s="41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14" t="s">
        <v>102</v>
      </c>
      <c r="B25" s="14" t="s">
        <v>103</v>
      </c>
      <c r="C25" s="14" t="s">
        <v>104</v>
      </c>
      <c r="D25" s="14">
        <v>153</v>
      </c>
      <c r="E25" s="14">
        <v>10</v>
      </c>
      <c r="F25" s="17" t="s">
        <v>100</v>
      </c>
      <c r="G25" s="41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14" t="s">
        <v>105</v>
      </c>
      <c r="B26" s="14" t="s">
        <v>106</v>
      </c>
      <c r="C26" s="14" t="s">
        <v>107</v>
      </c>
      <c r="D26" s="14">
        <v>155</v>
      </c>
      <c r="E26" s="14">
        <v>10</v>
      </c>
      <c r="F26" s="17" t="s">
        <v>100</v>
      </c>
      <c r="G26" s="41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5" t="s">
        <v>108</v>
      </c>
      <c r="B27" s="35" t="s">
        <v>109</v>
      </c>
      <c r="C27" s="35" t="s">
        <v>12</v>
      </c>
      <c r="D27" s="35">
        <v>155</v>
      </c>
      <c r="E27" s="35">
        <v>7</v>
      </c>
      <c r="F27" s="49" t="s">
        <v>110</v>
      </c>
      <c r="G27" s="50">
        <v>46014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5" t="s">
        <v>112</v>
      </c>
      <c r="B28" s="35" t="s">
        <v>113</v>
      </c>
      <c r="C28" s="35" t="s">
        <v>114</v>
      </c>
      <c r="D28" s="35">
        <v>161</v>
      </c>
      <c r="E28" s="35">
        <v>9</v>
      </c>
      <c r="F28" s="14" t="s">
        <v>110</v>
      </c>
      <c r="G28" s="50">
        <v>46014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377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5" t="s">
        <v>121</v>
      </c>
      <c r="B31" s="35" t="s">
        <v>122</v>
      </c>
      <c r="C31" s="35" t="s">
        <v>123</v>
      </c>
      <c r="D31" s="35">
        <v>163</v>
      </c>
      <c r="E31" s="35">
        <v>15</v>
      </c>
      <c r="F31" s="17" t="s">
        <v>74</v>
      </c>
      <c r="G31" s="18">
        <v>45972</v>
      </c>
      <c r="H31" s="18">
        <v>45972</v>
      </c>
      <c r="I31" s="36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5" t="s">
        <v>125</v>
      </c>
      <c r="B32" s="35" t="s">
        <v>126</v>
      </c>
      <c r="C32" s="35" t="s">
        <v>127</v>
      </c>
      <c r="D32" s="35">
        <v>183</v>
      </c>
      <c r="E32" s="35">
        <v>15</v>
      </c>
      <c r="F32" s="17" t="s">
        <v>74</v>
      </c>
      <c r="G32" s="18">
        <v>45972</v>
      </c>
      <c r="H32" s="18">
        <v>45972</v>
      </c>
      <c r="I32" s="36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1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1">
        <v>45981</v>
      </c>
      <c r="I34" s="17" t="s">
        <v>132</v>
      </c>
      <c r="J34" s="3" t="str">
        <v>Рыжова Ульяна Мх</v>
      </c>
      <c r="K34" s="4">
        <f t="shared" ref="K34:K50" si="1">SUMIF(F34:F139, J34, E34:E139)</f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1">
        <v>45981</v>
      </c>
      <c r="I35" s="32" t="s">
        <v>101</v>
      </c>
      <c r="J35" s="6" t="str">
        <v>Суханова Анастасия ПМ</v>
      </c>
      <c r="K35" s="4">
        <f t="shared" si="1"/>
        <v>63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36" t="s">
        <v>142</v>
      </c>
      <c r="G36" s="18">
        <v>45995</v>
      </c>
      <c r="H36" s="18">
        <v>45995</v>
      </c>
      <c r="I36" s="17" t="s">
        <v>143</v>
      </c>
      <c r="J36" s="4" t="str">
        <v>Иванова Мария ПМ</v>
      </c>
      <c r="K36" s="4">
        <f t="shared" si="1"/>
        <v>33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36" t="s">
        <v>142</v>
      </c>
      <c r="G37" s="18">
        <v>45995</v>
      </c>
      <c r="H37" s="18">
        <v>45995</v>
      </c>
      <c r="I37" s="17" t="s">
        <v>143</v>
      </c>
      <c r="J37" s="4" t="str">
        <v>Русских Анастасия Мх</v>
      </c>
      <c r="K37" s="4">
        <f t="shared" si="1"/>
        <v>30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7" t="s">
        <v>150</v>
      </c>
      <c r="G38" s="18">
        <v>45995</v>
      </c>
      <c r="H38" s="21">
        <v>45952</v>
      </c>
      <c r="I38" s="15" t="s">
        <v>101</v>
      </c>
      <c r="J38" s="3" t="str">
        <v>Тулумгузина Дарья ПМ</v>
      </c>
      <c r="K38" s="4">
        <f t="shared" si="1"/>
        <v>28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7" t="s">
        <v>150</v>
      </c>
      <c r="G39" s="18">
        <v>45995</v>
      </c>
      <c r="H39" s="21">
        <v>45952</v>
      </c>
      <c r="I39" s="15" t="s">
        <v>101</v>
      </c>
      <c r="J39" s="4" t="str">
        <v>Миниахметов Тагир Мх</v>
      </c>
      <c r="K39" s="4">
        <f t="shared" si="1"/>
        <v>31</v>
      </c>
    </row>
    <row r="40" spans="1:11" ht="14.25" customHeight="1" x14ac:dyDescent="0.25">
      <c r="A40" s="14" t="s">
        <v>154</v>
      </c>
      <c r="B40" s="14" t="s">
        <v>155</v>
      </c>
      <c r="C40" s="14" t="s">
        <v>156</v>
      </c>
      <c r="D40" s="14">
        <v>255</v>
      </c>
      <c r="E40" s="14">
        <v>3</v>
      </c>
      <c r="F40" s="38" t="s">
        <v>65</v>
      </c>
      <c r="G40" s="29">
        <v>45958</v>
      </c>
      <c r="H40" s="21">
        <v>45952</v>
      </c>
      <c r="I40" s="32" t="s">
        <v>66</v>
      </c>
      <c r="J40" s="6" t="str">
        <v>Миниахметво Тагир Мх</v>
      </c>
      <c r="K40" s="4">
        <f t="shared" si="1"/>
        <v>4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29">
        <v>45958</v>
      </c>
      <c r="H41" s="21">
        <v>45952</v>
      </c>
      <c r="I41" s="15" t="s">
        <v>101</v>
      </c>
      <c r="J41" s="4" t="str">
        <v>Пашацкий Никита ПМ</v>
      </c>
      <c r="K41" s="4">
        <f t="shared" si="1"/>
        <v>30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29">
        <v>45958</v>
      </c>
      <c r="H42" s="21">
        <v>45952</v>
      </c>
      <c r="I42" s="15" t="s">
        <v>101</v>
      </c>
      <c r="J42" s="3" t="str">
        <v>Пестерев Матвей Мх</v>
      </c>
      <c r="K42" s="4">
        <f t="shared" si="1"/>
        <v>42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29">
        <v>45958</v>
      </c>
      <c r="H43" s="21">
        <v>45952</v>
      </c>
      <c r="I43" s="15" t="s">
        <v>101</v>
      </c>
      <c r="J43" s="6" t="str">
        <v>Зайнышев Замир Мх</v>
      </c>
      <c r="K43" s="4">
        <f t="shared" si="1"/>
        <v>39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2" t="s">
        <v>66</v>
      </c>
      <c r="J44" t="str">
        <v>Пруденко Дарья ПМ</v>
      </c>
      <c r="K44" s="4">
        <f t="shared" si="1"/>
        <v>30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3" t="s">
        <v>65</v>
      </c>
      <c r="G45" s="41">
        <v>45986</v>
      </c>
      <c r="H45" s="21">
        <v>45952</v>
      </c>
      <c r="I45" s="15" t="s">
        <v>66</v>
      </c>
      <c r="J45" t="str">
        <v>Попов Николай ПМ</v>
      </c>
      <c r="K45" s="4">
        <f t="shared" si="1"/>
        <v>29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3">
        <v>45958</v>
      </c>
      <c r="H46" s="18">
        <v>45960</v>
      </c>
      <c r="I46" s="15" t="s">
        <v>101</v>
      </c>
      <c r="J46" t="str">
        <v>Торопов Егор Сергеевич ПМ</v>
      </c>
      <c r="K46" s="4">
        <f t="shared" si="1"/>
        <v>28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5" t="s">
        <v>178</v>
      </c>
      <c r="G47" s="18">
        <v>45974</v>
      </c>
      <c r="H47" s="21">
        <v>45952</v>
      </c>
      <c r="I47" s="15" t="s">
        <v>101</v>
      </c>
      <c r="J47" t="str">
        <v>Анкушин Иван ПМ</v>
      </c>
      <c r="K47" s="4">
        <f t="shared" si="1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29">
        <v>45972</v>
      </c>
      <c r="H48" s="21">
        <v>45967</v>
      </c>
      <c r="I48" s="15" t="s">
        <v>101</v>
      </c>
      <c r="J48" t="str">
        <v>Дизендорф Андрей Константинович ПМ</v>
      </c>
      <c r="K48" s="4">
        <f t="shared" si="1"/>
        <v>30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Панкратова Анна ПМ</v>
      </c>
      <c r="K49" s="4">
        <f t="shared" si="1"/>
        <v>37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K50" s="4">
        <f t="shared" si="1"/>
        <v>0</v>
      </c>
    </row>
    <row r="51" spans="1:11" ht="14.25" customHeight="1" x14ac:dyDescent="0.25">
      <c r="A51" s="14" t="s">
        <v>186</v>
      </c>
      <c r="B51" s="14" t="s">
        <v>155</v>
      </c>
      <c r="C51" s="14" t="s">
        <v>187</v>
      </c>
      <c r="D51" s="14">
        <v>268</v>
      </c>
      <c r="E51" s="14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29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47" t="s">
        <v>174</v>
      </c>
      <c r="G55" s="18">
        <v>46014</v>
      </c>
      <c r="H55" s="21">
        <v>45967</v>
      </c>
      <c r="I55" s="15" t="s">
        <v>101</v>
      </c>
    </row>
    <row r="56" spans="1:11" ht="14.25" customHeight="1" x14ac:dyDescent="0.25">
      <c r="A56" s="14" t="s">
        <v>201</v>
      </c>
      <c r="B56" s="14" t="s">
        <v>202</v>
      </c>
      <c r="C56" s="14" t="s">
        <v>203</v>
      </c>
      <c r="D56" s="14">
        <v>284</v>
      </c>
      <c r="E56" s="14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5" t="s">
        <v>205</v>
      </c>
      <c r="B57" s="35" t="s">
        <v>206</v>
      </c>
      <c r="C57" s="35" t="s">
        <v>207</v>
      </c>
      <c r="D57" s="35">
        <v>287</v>
      </c>
      <c r="E57" s="35">
        <v>41</v>
      </c>
      <c r="F57" s="17" t="s">
        <v>56</v>
      </c>
      <c r="G57" s="18">
        <v>46007</v>
      </c>
      <c r="H57" s="18">
        <v>46002</v>
      </c>
      <c r="I57" s="17" t="s">
        <v>55</v>
      </c>
    </row>
    <row r="58" spans="1:11" ht="14.25" customHeight="1" x14ac:dyDescent="0.25">
      <c r="A58" s="14" t="s">
        <v>208</v>
      </c>
      <c r="B58" s="14" t="s">
        <v>209</v>
      </c>
      <c r="C58" s="14" t="s">
        <v>210</v>
      </c>
      <c r="D58" s="14">
        <v>291</v>
      </c>
      <c r="E58" s="14">
        <v>17</v>
      </c>
      <c r="F58" s="35" t="s">
        <v>211</v>
      </c>
      <c r="G58" s="45">
        <v>46000</v>
      </c>
      <c r="H58" s="18">
        <v>46002</v>
      </c>
      <c r="I58" s="17" t="s">
        <v>60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29">
        <v>45972</v>
      </c>
      <c r="H59" s="21">
        <v>45967</v>
      </c>
      <c r="I59" s="15" t="s">
        <v>101</v>
      </c>
    </row>
    <row r="60" spans="1:11" ht="14.25" customHeight="1" x14ac:dyDescent="0.25">
      <c r="A60" s="35" t="s">
        <v>215</v>
      </c>
      <c r="B60" s="35" t="s">
        <v>216</v>
      </c>
      <c r="C60" s="35" t="s">
        <v>217</v>
      </c>
      <c r="D60" s="35">
        <v>292</v>
      </c>
      <c r="E60" s="35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14" t="s">
        <v>218</v>
      </c>
      <c r="B61" s="14" t="s">
        <v>219</v>
      </c>
      <c r="C61" s="14" t="s">
        <v>220</v>
      </c>
      <c r="D61" s="14">
        <v>301</v>
      </c>
      <c r="E61" s="14">
        <v>42</v>
      </c>
      <c r="F61" s="17" t="s">
        <v>221</v>
      </c>
      <c r="G61" s="24">
        <v>46002</v>
      </c>
      <c r="H61" s="18">
        <v>46002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2" t="s">
        <v>225</v>
      </c>
      <c r="G62" s="29">
        <v>45972</v>
      </c>
      <c r="H62" s="18">
        <v>46002</v>
      </c>
      <c r="I62" s="15" t="s">
        <v>101</v>
      </c>
    </row>
    <row r="63" spans="1:11" ht="14.25" customHeight="1" x14ac:dyDescent="0.25">
      <c r="A63" s="14" t="s">
        <v>226</v>
      </c>
      <c r="B63" s="14" t="s">
        <v>227</v>
      </c>
      <c r="C63" s="14" t="s">
        <v>228</v>
      </c>
      <c r="D63" s="14">
        <v>305</v>
      </c>
      <c r="E63" s="14">
        <v>15</v>
      </c>
      <c r="F63" s="42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14" t="s">
        <v>230</v>
      </c>
      <c r="B64" s="14" t="s">
        <v>231</v>
      </c>
      <c r="C64" s="14" t="s">
        <v>232</v>
      </c>
      <c r="D64" s="14">
        <v>313</v>
      </c>
      <c r="E64" s="14">
        <v>7</v>
      </c>
      <c r="F64" s="42" t="s">
        <v>229</v>
      </c>
      <c r="G64" s="29">
        <v>45972</v>
      </c>
      <c r="H64" s="18">
        <v>45988</v>
      </c>
      <c r="I64" s="15" t="s">
        <v>101</v>
      </c>
    </row>
    <row r="65" spans="1:9" ht="14.25" customHeight="1" x14ac:dyDescent="0.25">
      <c r="A65" s="14" t="s">
        <v>233</v>
      </c>
      <c r="B65" s="14" t="s">
        <v>234</v>
      </c>
      <c r="C65" s="14" t="s">
        <v>235</v>
      </c>
      <c r="D65" s="14">
        <v>313</v>
      </c>
      <c r="E65" s="14">
        <v>13</v>
      </c>
      <c r="F65" s="42" t="s">
        <v>229</v>
      </c>
      <c r="G65" s="18">
        <v>45995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0" t="s">
        <v>239</v>
      </c>
      <c r="G66" s="29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0" t="s">
        <v>239</v>
      </c>
      <c r="G67" s="29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29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35" t="s">
        <v>61</v>
      </c>
      <c r="G69" s="45">
        <v>46000</v>
      </c>
      <c r="H69" s="21">
        <v>45966</v>
      </c>
      <c r="I69" s="15" t="s">
        <v>131</v>
      </c>
    </row>
    <row r="70" spans="1:9" ht="14.25" customHeight="1" x14ac:dyDescent="0.25">
      <c r="A70" s="14" t="s">
        <v>249</v>
      </c>
      <c r="B70" s="14" t="s">
        <v>250</v>
      </c>
      <c r="C70" s="14" t="s">
        <v>251</v>
      </c>
      <c r="D70" s="14">
        <v>329</v>
      </c>
      <c r="E70" s="14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14" t="s">
        <v>253</v>
      </c>
      <c r="B71" s="14" t="s">
        <v>254</v>
      </c>
      <c r="C71" s="14" t="s">
        <v>255</v>
      </c>
      <c r="D71" s="14">
        <v>329</v>
      </c>
      <c r="E71" s="14">
        <v>5</v>
      </c>
      <c r="F71" s="51" t="s">
        <v>252</v>
      </c>
      <c r="G71" s="29">
        <v>45972</v>
      </c>
      <c r="H71" s="21">
        <v>45966</v>
      </c>
      <c r="I71" s="15" t="s">
        <v>66</v>
      </c>
    </row>
    <row r="72" spans="1:9" ht="14.25" customHeight="1" x14ac:dyDescent="0.25">
      <c r="A72" s="14" t="s">
        <v>256</v>
      </c>
      <c r="B72" s="14" t="s">
        <v>257</v>
      </c>
      <c r="C72" s="14" t="s">
        <v>379</v>
      </c>
      <c r="D72" s="14">
        <v>329</v>
      </c>
      <c r="E72" s="14">
        <v>17</v>
      </c>
      <c r="F72" s="38" t="s">
        <v>252</v>
      </c>
      <c r="G72" s="29">
        <v>45972</v>
      </c>
      <c r="H72" s="21">
        <v>45966</v>
      </c>
      <c r="I72" s="15" t="s">
        <v>258</v>
      </c>
    </row>
    <row r="73" spans="1:9" ht="14.25" customHeight="1" x14ac:dyDescent="0.25">
      <c r="A73" s="14" t="s">
        <v>259</v>
      </c>
      <c r="B73" s="14" t="s">
        <v>260</v>
      </c>
      <c r="C73" s="14" t="s">
        <v>261</v>
      </c>
      <c r="D73" s="14">
        <v>331</v>
      </c>
      <c r="E73" s="14">
        <v>14</v>
      </c>
      <c r="F73" s="18" t="s">
        <v>252</v>
      </c>
      <c r="G73" s="18">
        <v>45993</v>
      </c>
      <c r="H73" s="21">
        <v>45966</v>
      </c>
      <c r="I73" s="15" t="s">
        <v>258</v>
      </c>
    </row>
    <row r="74" spans="1:9" ht="14.25" customHeight="1" x14ac:dyDescent="0.25">
      <c r="A74" s="14" t="s">
        <v>262</v>
      </c>
      <c r="B74" s="14" t="s">
        <v>263</v>
      </c>
      <c r="C74" s="14" t="s">
        <v>264</v>
      </c>
      <c r="D74" s="14">
        <v>331</v>
      </c>
      <c r="E74" s="14">
        <v>5</v>
      </c>
      <c r="F74" s="17" t="s">
        <v>43</v>
      </c>
      <c r="G74" s="18">
        <v>45993</v>
      </c>
      <c r="H74" s="21">
        <v>45966</v>
      </c>
      <c r="I74" s="15" t="s">
        <v>265</v>
      </c>
    </row>
    <row r="75" spans="1:9" ht="14.25" customHeight="1" x14ac:dyDescent="0.25">
      <c r="A75" s="14" t="s">
        <v>266</v>
      </c>
      <c r="B75" s="14" t="s">
        <v>257</v>
      </c>
      <c r="C75" s="14" t="s">
        <v>267</v>
      </c>
      <c r="D75" s="14">
        <v>332</v>
      </c>
      <c r="E75" s="14">
        <v>28</v>
      </c>
      <c r="F75" s="17" t="s">
        <v>43</v>
      </c>
      <c r="G75" s="18">
        <v>45993</v>
      </c>
      <c r="H75" s="21">
        <v>45966</v>
      </c>
      <c r="I75" s="15" t="s">
        <v>265</v>
      </c>
    </row>
    <row r="76" spans="1:9" ht="14.25" customHeight="1" x14ac:dyDescent="0.25">
      <c r="A76" s="3" t="s">
        <v>268</v>
      </c>
      <c r="B76" s="3" t="s">
        <v>250</v>
      </c>
      <c r="C76" s="3" t="s">
        <v>269</v>
      </c>
      <c r="D76" s="3">
        <v>333</v>
      </c>
      <c r="E76" s="3">
        <v>3</v>
      </c>
      <c r="F76" s="35" t="s">
        <v>270</v>
      </c>
      <c r="G76" s="29">
        <v>45972</v>
      </c>
      <c r="H76" s="19">
        <v>46002</v>
      </c>
      <c r="I76" s="15" t="s">
        <v>271</v>
      </c>
    </row>
    <row r="77" spans="1:9" ht="14.25" customHeight="1" x14ac:dyDescent="0.25">
      <c r="A77" s="3" t="s">
        <v>272</v>
      </c>
      <c r="B77" s="3" t="s">
        <v>273</v>
      </c>
      <c r="C77" s="3" t="s">
        <v>274</v>
      </c>
      <c r="D77" s="3">
        <v>333</v>
      </c>
      <c r="E77" s="3">
        <v>9</v>
      </c>
      <c r="F77" s="15" t="s">
        <v>160</v>
      </c>
      <c r="G77" s="29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275</v>
      </c>
      <c r="B78" s="3" t="s">
        <v>276</v>
      </c>
      <c r="C78" s="3" t="s">
        <v>277</v>
      </c>
      <c r="D78" s="3">
        <v>334</v>
      </c>
      <c r="E78" s="3">
        <v>13</v>
      </c>
      <c r="F78" s="48" t="s">
        <v>85</v>
      </c>
      <c r="G78" s="18">
        <v>46007</v>
      </c>
      <c r="H78" s="21">
        <v>45973</v>
      </c>
      <c r="I78" s="15" t="s">
        <v>229</v>
      </c>
    </row>
    <row r="79" spans="1:9" ht="14.25" customHeight="1" x14ac:dyDescent="0.25">
      <c r="A79" s="3" t="s">
        <v>278</v>
      </c>
      <c r="B79" s="3" t="s">
        <v>279</v>
      </c>
      <c r="C79" s="3" t="s">
        <v>280</v>
      </c>
      <c r="D79" s="3">
        <v>336</v>
      </c>
      <c r="E79" s="3">
        <v>15</v>
      </c>
      <c r="F79" s="48" t="s">
        <v>85</v>
      </c>
      <c r="G79" s="18">
        <v>46007</v>
      </c>
      <c r="H79" s="21">
        <v>45973</v>
      </c>
      <c r="I79" s="15" t="s">
        <v>281</v>
      </c>
    </row>
    <row r="80" spans="1:9" ht="14.25" customHeight="1" x14ac:dyDescent="0.25">
      <c r="A80" s="3" t="s">
        <v>282</v>
      </c>
      <c r="B80" s="3" t="s">
        <v>283</v>
      </c>
      <c r="C80" s="3" t="s">
        <v>284</v>
      </c>
      <c r="D80" s="3">
        <v>336</v>
      </c>
      <c r="E80" s="3">
        <v>6</v>
      </c>
      <c r="F80" s="38" t="s">
        <v>258</v>
      </c>
      <c r="G80" s="24">
        <v>45979</v>
      </c>
      <c r="H80" s="21">
        <v>45973</v>
      </c>
      <c r="I80" s="34" t="s">
        <v>101</v>
      </c>
    </row>
    <row r="81" spans="1:9" ht="14.25" customHeight="1" x14ac:dyDescent="0.25">
      <c r="A81" s="3" t="s">
        <v>285</v>
      </c>
      <c r="B81" s="3" t="s">
        <v>250</v>
      </c>
      <c r="C81" s="3" t="s">
        <v>286</v>
      </c>
      <c r="D81" s="3">
        <v>337</v>
      </c>
      <c r="E81" s="3">
        <v>4</v>
      </c>
      <c r="F81" s="38" t="s">
        <v>287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288</v>
      </c>
      <c r="B82" s="3" t="s">
        <v>289</v>
      </c>
      <c r="C82" s="3" t="s">
        <v>290</v>
      </c>
      <c r="D82" s="3">
        <v>337</v>
      </c>
      <c r="E82" s="3">
        <v>5</v>
      </c>
      <c r="F82" s="44" t="s">
        <v>225</v>
      </c>
      <c r="G82" s="24">
        <v>46002</v>
      </c>
      <c r="H82" s="18">
        <v>45973</v>
      </c>
      <c r="I82" s="34" t="s">
        <v>101</v>
      </c>
    </row>
    <row r="83" spans="1:9" ht="14.25" customHeight="1" x14ac:dyDescent="0.25">
      <c r="A83" s="3" t="s">
        <v>291</v>
      </c>
      <c r="B83" s="3" t="s">
        <v>292</v>
      </c>
      <c r="C83" s="3" t="s">
        <v>293</v>
      </c>
      <c r="D83" s="3">
        <v>343</v>
      </c>
      <c r="E83" s="3">
        <v>25</v>
      </c>
      <c r="F83" s="38" t="s">
        <v>258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294</v>
      </c>
      <c r="B84" s="3" t="s">
        <v>295</v>
      </c>
      <c r="C84" s="3" t="s">
        <v>296</v>
      </c>
      <c r="D84" s="3">
        <v>344</v>
      </c>
      <c r="E84" s="3">
        <v>9</v>
      </c>
      <c r="F84" s="30" t="s">
        <v>297</v>
      </c>
      <c r="G84" s="24">
        <v>45979</v>
      </c>
      <c r="H84" s="21">
        <v>45973</v>
      </c>
      <c r="I84" s="14" t="s">
        <v>298</v>
      </c>
    </row>
    <row r="85" spans="1:9" ht="14.25" customHeight="1" x14ac:dyDescent="0.25">
      <c r="A85" s="3" t="s">
        <v>299</v>
      </c>
      <c r="B85" s="3" t="s">
        <v>300</v>
      </c>
      <c r="C85" s="3" t="s">
        <v>301</v>
      </c>
      <c r="D85" s="3">
        <v>346</v>
      </c>
      <c r="E85" s="3">
        <v>11</v>
      </c>
      <c r="F85" s="30" t="s">
        <v>225</v>
      </c>
      <c r="G85" s="24">
        <v>46002</v>
      </c>
      <c r="H85" s="16">
        <v>45973</v>
      </c>
      <c r="I85" s="34" t="s">
        <v>101</v>
      </c>
    </row>
    <row r="86" spans="1:9" ht="14.25" customHeight="1" x14ac:dyDescent="0.25">
      <c r="A86" s="14" t="s">
        <v>302</v>
      </c>
      <c r="B86" s="14" t="s">
        <v>303</v>
      </c>
      <c r="C86" s="14" t="s">
        <v>304</v>
      </c>
      <c r="D86" s="14">
        <v>354</v>
      </c>
      <c r="E86" s="14">
        <v>9</v>
      </c>
      <c r="F86" s="17" t="s">
        <v>252</v>
      </c>
      <c r="G86" s="18">
        <v>45993</v>
      </c>
      <c r="H86" s="18">
        <v>45973</v>
      </c>
      <c r="I86" s="17" t="s">
        <v>298</v>
      </c>
    </row>
    <row r="87" spans="1:9" ht="14.25" customHeight="1" x14ac:dyDescent="0.25">
      <c r="A87" s="14" t="s">
        <v>305</v>
      </c>
      <c r="B87" s="14" t="s">
        <v>306</v>
      </c>
      <c r="C87" s="14" t="s">
        <v>307</v>
      </c>
      <c r="D87" s="14">
        <v>356</v>
      </c>
      <c r="E87" s="14">
        <v>19</v>
      </c>
      <c r="F87" s="17" t="s">
        <v>298</v>
      </c>
      <c r="G87" s="18">
        <v>46000</v>
      </c>
      <c r="H87" s="18">
        <v>45988</v>
      </c>
      <c r="I87" s="46" t="s">
        <v>13</v>
      </c>
    </row>
    <row r="88" spans="1:9" ht="14.25" customHeight="1" x14ac:dyDescent="0.25">
      <c r="A88" s="14" t="s">
        <v>308</v>
      </c>
      <c r="B88" s="14" t="s">
        <v>309</v>
      </c>
      <c r="C88" s="14" t="s">
        <v>310</v>
      </c>
      <c r="D88" s="14">
        <v>357</v>
      </c>
      <c r="E88" s="14">
        <v>10</v>
      </c>
      <c r="F88" s="17" t="s">
        <v>298</v>
      </c>
      <c r="G88" s="18">
        <v>46000</v>
      </c>
      <c r="H88" s="18">
        <v>45988</v>
      </c>
      <c r="I88" s="46" t="s">
        <v>13</v>
      </c>
    </row>
    <row r="89" spans="1:9" ht="14.25" customHeight="1" x14ac:dyDescent="0.25">
      <c r="A89" s="14" t="s">
        <v>311</v>
      </c>
      <c r="B89" s="14" t="s">
        <v>312</v>
      </c>
      <c r="C89" s="14" t="s">
        <v>313</v>
      </c>
      <c r="D89" s="14">
        <v>357</v>
      </c>
      <c r="E89" s="14">
        <v>13</v>
      </c>
      <c r="F89" s="35" t="s">
        <v>298</v>
      </c>
      <c r="G89" s="18">
        <v>46000</v>
      </c>
      <c r="H89" s="18">
        <v>45988</v>
      </c>
      <c r="I89" s="35" t="s">
        <v>376</v>
      </c>
    </row>
    <row r="90" spans="1:9" ht="14.25" customHeight="1" x14ac:dyDescent="0.25">
      <c r="A90" s="3" t="s">
        <v>314</v>
      </c>
      <c r="B90" s="3" t="s">
        <v>315</v>
      </c>
      <c r="C90" s="3" t="s">
        <v>316</v>
      </c>
      <c r="D90" s="3">
        <v>360</v>
      </c>
      <c r="E90" s="3">
        <v>16</v>
      </c>
      <c r="F90" s="38" t="s">
        <v>317</v>
      </c>
      <c r="G90" s="24">
        <v>45979</v>
      </c>
      <c r="H90" s="21">
        <v>45973</v>
      </c>
      <c r="I90" s="34" t="s">
        <v>340</v>
      </c>
    </row>
    <row r="91" spans="1:9" ht="14.25" customHeight="1" x14ac:dyDescent="0.25">
      <c r="A91" s="3" t="s">
        <v>318</v>
      </c>
      <c r="B91" s="3" t="s">
        <v>319</v>
      </c>
      <c r="C91" s="3" t="s">
        <v>320</v>
      </c>
      <c r="D91" s="3">
        <v>362</v>
      </c>
      <c r="E91" s="3">
        <v>23</v>
      </c>
      <c r="F91" s="38" t="s">
        <v>317</v>
      </c>
      <c r="G91" s="24">
        <v>45979</v>
      </c>
      <c r="H91" s="21">
        <v>45973</v>
      </c>
      <c r="I91" s="34" t="s">
        <v>340</v>
      </c>
    </row>
    <row r="92" spans="1:9" ht="14.25" customHeight="1" x14ac:dyDescent="0.25">
      <c r="A92" s="3" t="s">
        <v>321</v>
      </c>
      <c r="B92" s="3" t="s">
        <v>322</v>
      </c>
      <c r="C92" s="3" t="s">
        <v>323</v>
      </c>
      <c r="D92" s="3">
        <v>364</v>
      </c>
      <c r="E92" s="3">
        <v>5</v>
      </c>
      <c r="F92" s="31" t="s">
        <v>143</v>
      </c>
      <c r="G92" s="24">
        <v>45979</v>
      </c>
      <c r="H92" s="21">
        <v>45973</v>
      </c>
      <c r="I92" s="15" t="s">
        <v>324</v>
      </c>
    </row>
    <row r="93" spans="1:9" ht="14.25" customHeight="1" x14ac:dyDescent="0.25">
      <c r="A93" s="3" t="s">
        <v>325</v>
      </c>
      <c r="B93" s="3" t="s">
        <v>326</v>
      </c>
      <c r="C93" s="3" t="s">
        <v>327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324</v>
      </c>
    </row>
    <row r="94" spans="1:9" ht="14.25" customHeight="1" x14ac:dyDescent="0.25">
      <c r="A94" s="3" t="s">
        <v>328</v>
      </c>
      <c r="B94" s="3" t="s">
        <v>329</v>
      </c>
      <c r="C94" s="3" t="s">
        <v>330</v>
      </c>
      <c r="D94" s="3">
        <v>366</v>
      </c>
      <c r="E94" s="3">
        <v>21</v>
      </c>
      <c r="F94" s="4" t="s">
        <v>297</v>
      </c>
      <c r="G94" s="13">
        <v>45986</v>
      </c>
      <c r="H94" s="16">
        <v>45981</v>
      </c>
      <c r="I94" s="14" t="s">
        <v>298</v>
      </c>
    </row>
    <row r="95" spans="1:9" ht="14.25" customHeight="1" x14ac:dyDescent="0.25">
      <c r="A95" s="14" t="s">
        <v>331</v>
      </c>
      <c r="B95" s="14" t="s">
        <v>332</v>
      </c>
      <c r="C95" s="14" t="s">
        <v>333</v>
      </c>
      <c r="D95" s="14">
        <v>367</v>
      </c>
      <c r="E95" s="14">
        <v>16</v>
      </c>
      <c r="F95" s="44" t="s">
        <v>204</v>
      </c>
      <c r="G95" s="18">
        <v>45993</v>
      </c>
      <c r="H95" s="16">
        <v>45981</v>
      </c>
      <c r="I95" s="34" t="s">
        <v>66</v>
      </c>
    </row>
    <row r="96" spans="1:9" ht="14.25" customHeight="1" x14ac:dyDescent="0.25">
      <c r="A96" s="3" t="s">
        <v>334</v>
      </c>
      <c r="B96" s="3" t="s">
        <v>335</v>
      </c>
      <c r="C96" s="3" t="s">
        <v>336</v>
      </c>
      <c r="D96" s="3">
        <v>368</v>
      </c>
      <c r="E96" s="3">
        <v>9</v>
      </c>
      <c r="F96" s="35" t="s">
        <v>270</v>
      </c>
      <c r="G96" s="24">
        <v>46002</v>
      </c>
      <c r="H96" s="19">
        <v>46002</v>
      </c>
      <c r="I96" s="14" t="s">
        <v>271</v>
      </c>
    </row>
    <row r="97" spans="1:9" ht="14.25" customHeight="1" x14ac:dyDescent="0.25">
      <c r="A97" s="14" t="s">
        <v>337</v>
      </c>
      <c r="B97" s="14" t="s">
        <v>338</v>
      </c>
      <c r="C97" s="14" t="s">
        <v>339</v>
      </c>
      <c r="D97" s="14">
        <v>367</v>
      </c>
      <c r="E97" s="14">
        <v>5</v>
      </c>
      <c r="F97" s="4" t="s">
        <v>340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341</v>
      </c>
      <c r="B98" s="3" t="s">
        <v>342</v>
      </c>
      <c r="C98" s="3" t="s">
        <v>343</v>
      </c>
      <c r="D98" s="3">
        <v>367</v>
      </c>
      <c r="E98" s="3">
        <v>14</v>
      </c>
      <c r="F98" s="3" t="s">
        <v>344</v>
      </c>
      <c r="G98" s="13">
        <v>45986</v>
      </c>
      <c r="H98" s="16">
        <v>45981</v>
      </c>
      <c r="I98" s="34" t="s">
        <v>66</v>
      </c>
    </row>
    <row r="99" spans="1:9" ht="14.25" customHeight="1" x14ac:dyDescent="0.25">
      <c r="A99" s="3" t="s">
        <v>345</v>
      </c>
      <c r="B99" s="3" t="s">
        <v>346</v>
      </c>
      <c r="C99" s="3" t="s">
        <v>347</v>
      </c>
      <c r="D99" s="3">
        <v>368</v>
      </c>
      <c r="E99" s="3">
        <v>14</v>
      </c>
      <c r="F99" s="3" t="s">
        <v>344</v>
      </c>
      <c r="G99" s="13">
        <v>45986</v>
      </c>
      <c r="H99" s="16">
        <v>45981</v>
      </c>
      <c r="I99" s="34" t="s">
        <v>66</v>
      </c>
    </row>
    <row r="100" spans="1:9" ht="14.25" customHeight="1" x14ac:dyDescent="0.25">
      <c r="A100" s="14" t="s">
        <v>348</v>
      </c>
      <c r="B100" s="14" t="s">
        <v>349</v>
      </c>
      <c r="C100" s="14" t="s">
        <v>350</v>
      </c>
      <c r="D100" s="14">
        <v>370</v>
      </c>
      <c r="E100" s="14">
        <v>6</v>
      </c>
      <c r="F100" s="42" t="s">
        <v>271</v>
      </c>
      <c r="G100" s="18">
        <v>46014</v>
      </c>
      <c r="H100" s="16">
        <v>46009</v>
      </c>
      <c r="I100" s="47" t="s">
        <v>270</v>
      </c>
    </row>
    <row r="101" spans="1:9" ht="14.25" customHeight="1" x14ac:dyDescent="0.25">
      <c r="A101" s="14" t="s">
        <v>351</v>
      </c>
      <c r="B101" s="14" t="s">
        <v>352</v>
      </c>
      <c r="C101" s="14" t="s">
        <v>353</v>
      </c>
      <c r="D101" s="14">
        <v>377</v>
      </c>
      <c r="E101" s="14">
        <v>22</v>
      </c>
      <c r="F101" s="17" t="s">
        <v>271</v>
      </c>
      <c r="G101" s="18">
        <v>46014</v>
      </c>
      <c r="H101" s="16">
        <v>46009</v>
      </c>
      <c r="I101" s="47" t="s">
        <v>270</v>
      </c>
    </row>
    <row r="102" spans="1:9" ht="14.25" customHeight="1" x14ac:dyDescent="0.25">
      <c r="A102" s="14" t="s">
        <v>354</v>
      </c>
      <c r="B102" s="14" t="s">
        <v>355</v>
      </c>
      <c r="C102" s="14" t="s">
        <v>356</v>
      </c>
      <c r="D102" s="14">
        <v>377</v>
      </c>
      <c r="E102" s="14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357</v>
      </c>
      <c r="B103" s="3" t="s">
        <v>122</v>
      </c>
      <c r="C103" s="3" t="s">
        <v>358</v>
      </c>
      <c r="D103" s="3">
        <v>384</v>
      </c>
      <c r="E103" s="3">
        <v>30</v>
      </c>
      <c r="F103" s="3" t="s">
        <v>359</v>
      </c>
      <c r="G103" s="13">
        <v>45986</v>
      </c>
      <c r="H103" s="16">
        <v>45981</v>
      </c>
      <c r="I103" s="34" t="s">
        <v>66</v>
      </c>
    </row>
    <row r="104" spans="1:9" ht="14.25" customHeight="1" x14ac:dyDescent="0.25">
      <c r="A104" s="3" t="s">
        <v>360</v>
      </c>
      <c r="B104" s="3" t="s">
        <v>361</v>
      </c>
      <c r="C104" s="3" t="s">
        <v>362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363</v>
      </c>
      <c r="B105" s="3" t="s">
        <v>364</v>
      </c>
      <c r="C105" s="3" t="s">
        <v>365</v>
      </c>
      <c r="D105" s="3">
        <v>465</v>
      </c>
      <c r="E105" s="3">
        <v>18</v>
      </c>
      <c r="F105" s="3" t="s">
        <v>270</v>
      </c>
      <c r="G105" s="13">
        <v>45986</v>
      </c>
      <c r="H105" s="16">
        <v>45981</v>
      </c>
      <c r="I105" s="3" t="s">
        <v>271</v>
      </c>
    </row>
    <row r="106" spans="1:9" ht="14.25" customHeight="1" x14ac:dyDescent="0.25">
      <c r="A106" s="14" t="s">
        <v>366</v>
      </c>
      <c r="B106" s="14" t="s">
        <v>367</v>
      </c>
      <c r="C106" s="14" t="s">
        <v>368</v>
      </c>
      <c r="D106" s="14">
        <v>470</v>
      </c>
      <c r="E106" s="14">
        <v>24</v>
      </c>
      <c r="F106" s="4" t="s">
        <v>340</v>
      </c>
      <c r="G106" s="13">
        <v>45986</v>
      </c>
      <c r="H106" s="16">
        <v>45981</v>
      </c>
      <c r="I106" s="14" t="s">
        <v>317</v>
      </c>
    </row>
    <row r="107" spans="1:9" ht="14.25" customHeight="1" x14ac:dyDescent="0.25">
      <c r="A107" s="14" t="s">
        <v>369</v>
      </c>
      <c r="B107" s="14" t="s">
        <v>370</v>
      </c>
      <c r="C107" s="14" t="s">
        <v>378</v>
      </c>
      <c r="D107" s="14">
        <v>475</v>
      </c>
      <c r="E107" s="14">
        <v>37</v>
      </c>
      <c r="F107" s="44" t="s">
        <v>371</v>
      </c>
      <c r="G107" s="18">
        <v>46014</v>
      </c>
      <c r="H107" s="16">
        <v>45981</v>
      </c>
      <c r="I107" s="34" t="s">
        <v>66</v>
      </c>
    </row>
    <row r="108" spans="1:9" ht="14.25" customHeight="1" x14ac:dyDescent="0.25">
      <c r="D108" s="8" t="s">
        <v>372</v>
      </c>
      <c r="E108" s="3">
        <f>SUM(E19:E107)</f>
        <v>1296</v>
      </c>
    </row>
    <row r="109" spans="1:9" ht="14.25" customHeight="1" x14ac:dyDescent="0.25">
      <c r="C109" s="3" t="s">
        <v>373</v>
      </c>
      <c r="D109" s="3" t="s">
        <v>101</v>
      </c>
      <c r="E109" s="3">
        <v>20</v>
      </c>
    </row>
    <row r="110" spans="1:9" ht="14.25" customHeight="1" x14ac:dyDescent="0.25">
      <c r="C110" s="3" t="s">
        <v>373</v>
      </c>
      <c r="D110" s="3" t="s">
        <v>66</v>
      </c>
      <c r="E110" s="3">
        <v>27</v>
      </c>
    </row>
    <row r="111" spans="1:9" ht="14.25" customHeight="1" x14ac:dyDescent="0.25">
      <c r="D111" s="3" t="s">
        <v>374</v>
      </c>
      <c r="E111" s="3">
        <f>SUM(E109:E110)</f>
        <v>47</v>
      </c>
    </row>
    <row r="112" spans="1:9" ht="14.25" customHeight="1" x14ac:dyDescent="0.25">
      <c r="D112" s="3" t="s">
        <v>375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2026-01-16T10:54:47Z</dcterms:modified>
  <cp:category/>
  <cp:contentStatus/>
</cp:coreProperties>
</file>